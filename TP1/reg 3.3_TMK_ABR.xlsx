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duvaud-my.sharepoint.com/personal/alan_badertscher_eduvaud_ch/Documents/03-Projet/2eme/EIND_TP1_Alimentation_Lineaire_ABR_TMK/01-Documentation/"/>
    </mc:Choice>
  </mc:AlternateContent>
  <xr:revisionPtr revIDLastSave="524" documentId="11_AD4D9D64A577C15A4A54187538D9506E5BDEDD8A" xr6:coauthVersionLast="47" xr6:coauthVersionMax="47" xr10:uidLastSave="{C76DB358-022B-4510-88B0-16D9F04DB123}"/>
  <bookViews>
    <workbookView xWindow="-108" yWindow="-108" windowWidth="30936" windowHeight="16776" activeTab="1" xr2:uid="{00000000-000D-0000-FFFF-FFFF00000000}"/>
  </bookViews>
  <sheets>
    <sheet name="Part 1" sheetId="1" r:id="rId1"/>
    <sheet name="Part 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8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E28" i="3"/>
  <c r="G28" i="3" s="1"/>
  <c r="F28" i="3"/>
  <c r="B4" i="3"/>
  <c r="B5" i="3"/>
  <c r="B6" i="3"/>
  <c r="B7" i="3"/>
  <c r="B8" i="3"/>
  <c r="D8" i="3" s="1"/>
  <c r="B9" i="3"/>
  <c r="D9" i="3" s="1"/>
  <c r="B10" i="3"/>
  <c r="D10" i="3" s="1"/>
  <c r="B11" i="3"/>
  <c r="D11" i="3" s="1"/>
  <c r="B12" i="3"/>
  <c r="D12" i="3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B25" i="3"/>
  <c r="B26" i="3"/>
  <c r="B27" i="3"/>
  <c r="B28" i="3"/>
  <c r="B29" i="3"/>
  <c r="D29" i="3" s="1"/>
  <c r="E29" i="3"/>
  <c r="H3" i="3"/>
  <c r="G6" i="3"/>
  <c r="G7" i="3"/>
  <c r="G8" i="3"/>
  <c r="G9" i="3"/>
  <c r="G10" i="3"/>
  <c r="G11" i="3"/>
  <c r="G12" i="3"/>
  <c r="G13" i="3"/>
  <c r="G14" i="3"/>
  <c r="G15" i="3"/>
  <c r="G16" i="3"/>
  <c r="G26" i="3"/>
  <c r="G27" i="3"/>
  <c r="G29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9" i="3"/>
  <c r="F3" i="3"/>
  <c r="E4" i="3"/>
  <c r="G4" i="3" s="1"/>
  <c r="E5" i="3"/>
  <c r="G5" i="3" s="1"/>
  <c r="E6" i="3"/>
  <c r="E7" i="3"/>
  <c r="E8" i="3"/>
  <c r="E9" i="3"/>
  <c r="E10" i="3"/>
  <c r="E11" i="3"/>
  <c r="E12" i="3"/>
  <c r="E13" i="3"/>
  <c r="E14" i="3"/>
  <c r="E15" i="3"/>
  <c r="E16" i="3"/>
  <c r="E17" i="3"/>
  <c r="G17" i="3" s="1"/>
  <c r="E18" i="3"/>
  <c r="G18" i="3" s="1"/>
  <c r="E19" i="3"/>
  <c r="G19" i="3" s="1"/>
  <c r="E20" i="3"/>
  <c r="G20" i="3" s="1"/>
  <c r="E21" i="3"/>
  <c r="G21" i="3" s="1"/>
  <c r="E22" i="3"/>
  <c r="G22" i="3" s="1"/>
  <c r="E23" i="3"/>
  <c r="G23" i="3" s="1"/>
  <c r="E24" i="3"/>
  <c r="G24" i="3" s="1"/>
  <c r="E25" i="3"/>
  <c r="G25" i="3" s="1"/>
  <c r="E26" i="3"/>
  <c r="E27" i="3"/>
  <c r="D4" i="3"/>
  <c r="D5" i="3"/>
  <c r="D6" i="3"/>
  <c r="D7" i="3"/>
  <c r="D24" i="3"/>
  <c r="D25" i="3"/>
  <c r="D26" i="3"/>
  <c r="D3" i="3"/>
  <c r="E3" i="3"/>
  <c r="D27" i="3"/>
  <c r="B3" i="3"/>
  <c r="X9" i="1" l="1"/>
  <c r="W9" i="1"/>
  <c r="X8" i="1"/>
  <c r="W8" i="1"/>
  <c r="X7" i="1"/>
  <c r="W7" i="1"/>
  <c r="X6" i="1"/>
  <c r="W6" i="1"/>
  <c r="X5" i="1"/>
  <c r="W5" i="1"/>
  <c r="AA18" i="1" l="1"/>
  <c r="Y7" i="1"/>
  <c r="Y9" i="1"/>
  <c r="Y5" i="1"/>
  <c r="Y6" i="1"/>
  <c r="Y8" i="1"/>
  <c r="G5" i="1"/>
  <c r="Z19" i="1" s="1"/>
  <c r="G6" i="1"/>
  <c r="G7" i="1"/>
  <c r="G8" i="1"/>
  <c r="G9" i="1"/>
  <c r="G4" i="1"/>
  <c r="F5" i="1"/>
  <c r="Y19" i="1" s="1"/>
  <c r="Y20" i="1" s="1"/>
  <c r="Y21" i="1" s="1"/>
  <c r="F6" i="1"/>
  <c r="H6" i="1" s="1"/>
  <c r="F7" i="1"/>
  <c r="H7" i="1" s="1"/>
  <c r="F8" i="1"/>
  <c r="H8" i="1" s="1"/>
  <c r="F9" i="1"/>
  <c r="F4" i="1"/>
  <c r="AA19" i="1" l="1"/>
  <c r="AA20" i="1" s="1"/>
  <c r="AA21" i="1" s="1"/>
  <c r="Z20" i="1"/>
  <c r="Z21" i="1" s="1"/>
  <c r="H5" i="1"/>
  <c r="H4" i="1"/>
  <c r="H9" i="1"/>
</calcChain>
</file>

<file path=xl/sharedStrings.xml><?xml version="1.0" encoding="utf-8"?>
<sst xmlns="http://schemas.openxmlformats.org/spreadsheetml/2006/main" count="64" uniqueCount="39">
  <si>
    <t>Charge</t>
  </si>
  <si>
    <t>Input</t>
  </si>
  <si>
    <t>Output</t>
  </si>
  <si>
    <t>Power</t>
  </si>
  <si>
    <t>Rl [Ohm]</t>
  </si>
  <si>
    <t>Uin[V]</t>
  </si>
  <si>
    <t>Iin[ma]</t>
  </si>
  <si>
    <t>Uout [V]</t>
  </si>
  <si>
    <t>Iout [ma]</t>
  </si>
  <si>
    <t>Pin[mW]</t>
  </si>
  <si>
    <t>Pout[mW]</t>
  </si>
  <si>
    <t>Pdiss.[mW]</t>
  </si>
  <si>
    <t>none</t>
  </si>
  <si>
    <t>-</t>
  </si>
  <si>
    <t xml:space="preserve"> </t>
  </si>
  <si>
    <t>mesure</t>
  </si>
  <si>
    <t>simulation</t>
  </si>
  <si>
    <t>Power @ Imax</t>
  </si>
  <si>
    <t>Delta</t>
  </si>
  <si>
    <t>Théorique</t>
  </si>
  <si>
    <t>Mesures</t>
  </si>
  <si>
    <t>Erreur en [%]</t>
  </si>
  <si>
    <t xml:space="preserve">Courant </t>
  </si>
  <si>
    <t>Tension de sortie</t>
  </si>
  <si>
    <t>Ureg</t>
  </si>
  <si>
    <t>[V]</t>
  </si>
  <si>
    <t>Uin</t>
  </si>
  <si>
    <t>R1</t>
  </si>
  <si>
    <t>[Ohms]</t>
  </si>
  <si>
    <t>Rout</t>
  </si>
  <si>
    <t>Vout mes [V]</t>
  </si>
  <si>
    <t>Err. Tens. Rel.</t>
  </si>
  <si>
    <t>Vout t/Vout m [%]</t>
  </si>
  <si>
    <t>P R1</t>
  </si>
  <si>
    <t>P R2</t>
  </si>
  <si>
    <t>[W]</t>
  </si>
  <si>
    <t>P LM317</t>
  </si>
  <si>
    <t>Vout théo [V]</t>
  </si>
  <si>
    <t>IR2 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</si>
</sst>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/>
    <xf numFmtId="0" fontId="0" fillId="0" borderId="17" xfId="0" applyBorder="1"/>
    <xf numFmtId="0" fontId="0" fillId="0" borderId="18" xfId="0" applyBorder="1"/>
    <xf numFmtId="2" fontId="0" fillId="0" borderId="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22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" fontId="0" fillId="0" borderId="23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Current mesurement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Output current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elete val="1"/>
          </c:dLbls>
          <c:xVal>
            <c:numRef>
              <c:f>'Part 1'!$A$5:$A$9</c:f>
              <c:numCache>
                <c:formatCode>General</c:formatCode>
                <c:ptCount val="5"/>
                <c:pt idx="0">
                  <c:v>30</c:v>
                </c:pt>
                <c:pt idx="1">
                  <c:v>120</c:v>
                </c:pt>
                <c:pt idx="2">
                  <c:v>240</c:v>
                </c:pt>
                <c:pt idx="3">
                  <c:v>510</c:v>
                </c:pt>
                <c:pt idx="4">
                  <c:v>1000</c:v>
                </c:pt>
              </c:numCache>
            </c:numRef>
          </c:xVal>
          <c:yVal>
            <c:numRef>
              <c:f>'Part 1'!$E$5:$E$9</c:f>
              <c:numCache>
                <c:formatCode>General</c:formatCode>
                <c:ptCount val="5"/>
                <c:pt idx="0">
                  <c:v>108.2</c:v>
                </c:pt>
                <c:pt idx="1">
                  <c:v>27.84</c:v>
                </c:pt>
                <c:pt idx="2">
                  <c:v>13.93</c:v>
                </c:pt>
                <c:pt idx="3">
                  <c:v>6.56</c:v>
                </c:pt>
                <c:pt idx="4">
                  <c:v>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67C-4014-8845-C0A5E2C143CF}"/>
            </c:ext>
          </c:extLst>
        </c:ser>
        <c:ser>
          <c:idx val="0"/>
          <c:order val="1"/>
          <c:tx>
            <c:v>Input current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xVal>
            <c:numRef>
              <c:f>'Part 1'!$A$5:$A$9</c:f>
              <c:numCache>
                <c:formatCode>General</c:formatCode>
                <c:ptCount val="5"/>
                <c:pt idx="0">
                  <c:v>30</c:v>
                </c:pt>
                <c:pt idx="1">
                  <c:v>120</c:v>
                </c:pt>
                <c:pt idx="2">
                  <c:v>240</c:v>
                </c:pt>
                <c:pt idx="3">
                  <c:v>510</c:v>
                </c:pt>
                <c:pt idx="4">
                  <c:v>1000</c:v>
                </c:pt>
              </c:numCache>
            </c:numRef>
          </c:xVal>
          <c:yVal>
            <c:numRef>
              <c:f>'Part 1'!$C$5:$C$9</c:f>
              <c:numCache>
                <c:formatCode>General</c:formatCode>
                <c:ptCount val="5"/>
                <c:pt idx="0">
                  <c:v>118.06</c:v>
                </c:pt>
                <c:pt idx="1">
                  <c:v>38.24</c:v>
                </c:pt>
                <c:pt idx="2">
                  <c:v>24.4</c:v>
                </c:pt>
                <c:pt idx="3">
                  <c:v>17.065000000000001</c:v>
                </c:pt>
                <c:pt idx="4">
                  <c:v>13.872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67C-4014-8845-C0A5E2C143CF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238280080"/>
        <c:axId val="238281520"/>
      </c:scatterChart>
      <c:valAx>
        <c:axId val="23828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281520"/>
        <c:crosses val="autoZero"/>
        <c:crossBetween val="midCat"/>
      </c:valAx>
      <c:valAx>
        <c:axId val="2382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Curernt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28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Power mesurement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 1'!$G$3</c:f>
              <c:strCache>
                <c:ptCount val="1"/>
                <c:pt idx="0">
                  <c:v>Pout[mW]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'Part 1'!$A$5:$A$9</c:f>
              <c:numCache>
                <c:formatCode>General</c:formatCode>
                <c:ptCount val="5"/>
                <c:pt idx="0">
                  <c:v>30</c:v>
                </c:pt>
                <c:pt idx="1">
                  <c:v>120</c:v>
                </c:pt>
                <c:pt idx="2">
                  <c:v>240</c:v>
                </c:pt>
                <c:pt idx="3">
                  <c:v>510</c:v>
                </c:pt>
                <c:pt idx="4">
                  <c:v>1000</c:v>
                </c:pt>
              </c:numCache>
            </c:numRef>
          </c:xVal>
          <c:yVal>
            <c:numRef>
              <c:f>'Part 1'!$G$5:$G$9</c:f>
              <c:numCache>
                <c:formatCode>General</c:formatCode>
                <c:ptCount val="5"/>
                <c:pt idx="0">
                  <c:v>367.339</c:v>
                </c:pt>
                <c:pt idx="1">
                  <c:v>93.681600000000003</c:v>
                </c:pt>
                <c:pt idx="2">
                  <c:v>46.8048</c:v>
                </c:pt>
                <c:pt idx="3">
                  <c:v>22.028479999999998</c:v>
                </c:pt>
                <c:pt idx="4">
                  <c:v>11.242599999999999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91-43AE-91CC-F4ADD9A68B1F}"/>
            </c:ext>
          </c:extLst>
        </c:ser>
        <c:ser>
          <c:idx val="1"/>
          <c:order val="1"/>
          <c:tx>
            <c:strRef>
              <c:f>'Part 1'!$F$3</c:f>
              <c:strCache>
                <c:ptCount val="1"/>
                <c:pt idx="0">
                  <c:v>Pin[mW]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'Part 1'!$A$5:$A$9</c:f>
              <c:numCache>
                <c:formatCode>General</c:formatCode>
                <c:ptCount val="5"/>
                <c:pt idx="0">
                  <c:v>30</c:v>
                </c:pt>
                <c:pt idx="1">
                  <c:v>120</c:v>
                </c:pt>
                <c:pt idx="2">
                  <c:v>240</c:v>
                </c:pt>
                <c:pt idx="3">
                  <c:v>510</c:v>
                </c:pt>
                <c:pt idx="4">
                  <c:v>1000</c:v>
                </c:pt>
              </c:numCache>
            </c:numRef>
          </c:xVal>
          <c:yVal>
            <c:numRef>
              <c:f>'Part 1'!$F$5:$F$9</c:f>
              <c:numCache>
                <c:formatCode>General</c:formatCode>
                <c:ptCount val="5"/>
                <c:pt idx="0">
                  <c:v>885.45</c:v>
                </c:pt>
                <c:pt idx="1">
                  <c:v>286.8</c:v>
                </c:pt>
                <c:pt idx="2">
                  <c:v>183</c:v>
                </c:pt>
                <c:pt idx="3">
                  <c:v>127.98750000000001</c:v>
                </c:pt>
                <c:pt idx="4">
                  <c:v>104.03999999999999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91-43AE-91CC-F4ADD9A68B1F}"/>
            </c:ext>
          </c:extLst>
        </c:ser>
        <c:ser>
          <c:idx val="2"/>
          <c:order val="2"/>
          <c:tx>
            <c:strRef>
              <c:f>'Part 1'!$H$3</c:f>
              <c:strCache>
                <c:ptCount val="1"/>
                <c:pt idx="0">
                  <c:v>Pdiss.[mW]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'Part 1'!$A$5:$A$9</c:f>
              <c:numCache>
                <c:formatCode>General</c:formatCode>
                <c:ptCount val="5"/>
                <c:pt idx="0">
                  <c:v>30</c:v>
                </c:pt>
                <c:pt idx="1">
                  <c:v>120</c:v>
                </c:pt>
                <c:pt idx="2">
                  <c:v>240</c:v>
                </c:pt>
                <c:pt idx="3">
                  <c:v>510</c:v>
                </c:pt>
                <c:pt idx="4">
                  <c:v>1000</c:v>
                </c:pt>
              </c:numCache>
            </c:numRef>
          </c:xVal>
          <c:yVal>
            <c:numRef>
              <c:f>'Part 1'!$H$5:$H$9</c:f>
              <c:numCache>
                <c:formatCode>General</c:formatCode>
                <c:ptCount val="5"/>
                <c:pt idx="0">
                  <c:v>518.1110000000001</c:v>
                </c:pt>
                <c:pt idx="1">
                  <c:v>193.11840000000001</c:v>
                </c:pt>
                <c:pt idx="2">
                  <c:v>136.1952</c:v>
                </c:pt>
                <c:pt idx="3">
                  <c:v>105.95902000000001</c:v>
                </c:pt>
                <c:pt idx="4">
                  <c:v>92.797399999999996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91-43AE-91CC-F4ADD9A68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280080"/>
        <c:axId val="238281520"/>
      </c:scatterChart>
      <c:valAx>
        <c:axId val="23828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281520"/>
        <c:crosses val="autoZero"/>
        <c:crossBetween val="midCat"/>
      </c:valAx>
      <c:valAx>
        <c:axId val="2382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Curernt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28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Voltage mesurement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Output voltage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'Part 1'!$A$5:$A$9</c:f>
              <c:numCache>
                <c:formatCode>General</c:formatCode>
                <c:ptCount val="5"/>
                <c:pt idx="0">
                  <c:v>30</c:v>
                </c:pt>
                <c:pt idx="1">
                  <c:v>120</c:v>
                </c:pt>
                <c:pt idx="2">
                  <c:v>240</c:v>
                </c:pt>
                <c:pt idx="3">
                  <c:v>510</c:v>
                </c:pt>
                <c:pt idx="4">
                  <c:v>1000</c:v>
                </c:pt>
              </c:numCache>
            </c:numRef>
          </c:xVal>
          <c:yVal>
            <c:numRef>
              <c:f>'Part 1'!$D$5:$D$9</c:f>
              <c:numCache>
                <c:formatCode>General</c:formatCode>
                <c:ptCount val="5"/>
                <c:pt idx="0">
                  <c:v>3.395</c:v>
                </c:pt>
                <c:pt idx="1">
                  <c:v>3.3650000000000002</c:v>
                </c:pt>
                <c:pt idx="2">
                  <c:v>3.36</c:v>
                </c:pt>
                <c:pt idx="3">
                  <c:v>3.3580000000000001</c:v>
                </c:pt>
                <c:pt idx="4">
                  <c:v>3.3559999999999999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8B-459C-B548-7C1EE73A60A7}"/>
            </c:ext>
          </c:extLst>
        </c:ser>
        <c:ser>
          <c:idx val="0"/>
          <c:order val="1"/>
          <c:tx>
            <c:v>Input voltage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'Part 1'!$A$5:$A$9</c:f>
              <c:numCache>
                <c:formatCode>General</c:formatCode>
                <c:ptCount val="5"/>
                <c:pt idx="0">
                  <c:v>30</c:v>
                </c:pt>
                <c:pt idx="1">
                  <c:v>120</c:v>
                </c:pt>
                <c:pt idx="2">
                  <c:v>240</c:v>
                </c:pt>
                <c:pt idx="3">
                  <c:v>510</c:v>
                </c:pt>
                <c:pt idx="4">
                  <c:v>1000</c:v>
                </c:pt>
              </c:numCache>
            </c:numRef>
          </c:xVal>
          <c:yVal>
            <c:numRef>
              <c:f>'Part 1'!$B$5:$B$9</c:f>
              <c:numCache>
                <c:formatCode>General</c:formatCode>
                <c:ptCount val="5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8B-459C-B548-7C1EE73A60A7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238280080"/>
        <c:axId val="238281520"/>
      </c:scatterChart>
      <c:valAx>
        <c:axId val="23828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281520"/>
        <c:crosses val="autoZero"/>
        <c:crossBetween val="midCat"/>
      </c:valAx>
      <c:valAx>
        <c:axId val="2382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828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Uout</a:t>
            </a:r>
            <a:r>
              <a:rPr lang="fr-CH" baseline="0"/>
              <a:t> / UR2 [V]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Uout théo [V]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2'!$A$3:$A$29</c:f>
              <c:numCache>
                <c:formatCode>General</c:formatCode>
                <c:ptCount val="2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246</c:v>
                </c:pt>
                <c:pt idx="25">
                  <c:v>246</c:v>
                </c:pt>
                <c:pt idx="26">
                  <c:v>246</c:v>
                </c:pt>
              </c:numCache>
            </c:numRef>
          </c:xVal>
          <c:yVal>
            <c:numRef>
              <c:f>'Part 2'!$B$3:$B$29</c:f>
              <c:numCache>
                <c:formatCode>0.00</c:formatCode>
                <c:ptCount val="27"/>
                <c:pt idx="0">
                  <c:v>22.7</c:v>
                </c:pt>
                <c:pt idx="1">
                  <c:v>22.65</c:v>
                </c:pt>
                <c:pt idx="2">
                  <c:v>22.6</c:v>
                </c:pt>
                <c:pt idx="3">
                  <c:v>22.55</c:v>
                </c:pt>
                <c:pt idx="4">
                  <c:v>22.5</c:v>
                </c:pt>
                <c:pt idx="5">
                  <c:v>22.45</c:v>
                </c:pt>
                <c:pt idx="6">
                  <c:v>22.4</c:v>
                </c:pt>
                <c:pt idx="7">
                  <c:v>22.35</c:v>
                </c:pt>
                <c:pt idx="8">
                  <c:v>22.3</c:v>
                </c:pt>
                <c:pt idx="9">
                  <c:v>22.25</c:v>
                </c:pt>
                <c:pt idx="10">
                  <c:v>22.2</c:v>
                </c:pt>
                <c:pt idx="11">
                  <c:v>22.15</c:v>
                </c:pt>
                <c:pt idx="12">
                  <c:v>22.1</c:v>
                </c:pt>
                <c:pt idx="13">
                  <c:v>22.05</c:v>
                </c:pt>
                <c:pt idx="14">
                  <c:v>22</c:v>
                </c:pt>
                <c:pt idx="15">
                  <c:v>21.95</c:v>
                </c:pt>
                <c:pt idx="16">
                  <c:v>21.9</c:v>
                </c:pt>
                <c:pt idx="17">
                  <c:v>21.85</c:v>
                </c:pt>
                <c:pt idx="18">
                  <c:v>21.8</c:v>
                </c:pt>
                <c:pt idx="19">
                  <c:v>21.75</c:v>
                </c:pt>
                <c:pt idx="20">
                  <c:v>21.7</c:v>
                </c:pt>
                <c:pt idx="21">
                  <c:v>21.65</c:v>
                </c:pt>
                <c:pt idx="22">
                  <c:v>21.6</c:v>
                </c:pt>
                <c:pt idx="23">
                  <c:v>21.55</c:v>
                </c:pt>
                <c:pt idx="24">
                  <c:v>21.52</c:v>
                </c:pt>
                <c:pt idx="25">
                  <c:v>21.52</c:v>
                </c:pt>
                <c:pt idx="26">
                  <c:v>21.52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F5-44CD-B5ED-B175D9ED2BE7}"/>
            </c:ext>
          </c:extLst>
        </c:ser>
        <c:ser>
          <c:idx val="1"/>
          <c:order val="1"/>
          <c:tx>
            <c:v>Uout mesu [V]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2'!$A$3:$A$29</c:f>
              <c:numCache>
                <c:formatCode>General</c:formatCode>
                <c:ptCount val="2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246</c:v>
                </c:pt>
                <c:pt idx="25">
                  <c:v>246</c:v>
                </c:pt>
                <c:pt idx="26">
                  <c:v>246</c:v>
                </c:pt>
              </c:numCache>
            </c:numRef>
          </c:xVal>
          <c:yVal>
            <c:numRef>
              <c:f>'Part 2'!$C$3:$C$29</c:f>
              <c:numCache>
                <c:formatCode>General</c:formatCode>
                <c:ptCount val="27"/>
                <c:pt idx="0">
                  <c:v>22.61</c:v>
                </c:pt>
                <c:pt idx="1">
                  <c:v>22.65</c:v>
                </c:pt>
                <c:pt idx="2">
                  <c:v>22.63</c:v>
                </c:pt>
                <c:pt idx="3">
                  <c:v>22.6</c:v>
                </c:pt>
                <c:pt idx="4">
                  <c:v>22.59</c:v>
                </c:pt>
                <c:pt idx="5">
                  <c:v>22.56</c:v>
                </c:pt>
                <c:pt idx="6">
                  <c:v>22.39</c:v>
                </c:pt>
                <c:pt idx="7">
                  <c:v>22.25</c:v>
                </c:pt>
                <c:pt idx="8">
                  <c:v>22.19</c:v>
                </c:pt>
                <c:pt idx="9">
                  <c:v>22.14</c:v>
                </c:pt>
                <c:pt idx="10">
                  <c:v>21.97</c:v>
                </c:pt>
                <c:pt idx="11">
                  <c:v>21.91</c:v>
                </c:pt>
                <c:pt idx="12">
                  <c:v>21.86</c:v>
                </c:pt>
                <c:pt idx="13">
                  <c:v>21.86</c:v>
                </c:pt>
                <c:pt idx="14">
                  <c:v>21.76</c:v>
                </c:pt>
                <c:pt idx="15">
                  <c:v>21.69</c:v>
                </c:pt>
                <c:pt idx="16">
                  <c:v>21.64</c:v>
                </c:pt>
                <c:pt idx="17">
                  <c:v>21.59</c:v>
                </c:pt>
                <c:pt idx="18">
                  <c:v>21.53</c:v>
                </c:pt>
                <c:pt idx="19">
                  <c:v>21.48</c:v>
                </c:pt>
                <c:pt idx="20">
                  <c:v>21.43</c:v>
                </c:pt>
                <c:pt idx="21">
                  <c:v>21.37</c:v>
                </c:pt>
                <c:pt idx="22">
                  <c:v>21.31</c:v>
                </c:pt>
                <c:pt idx="23">
                  <c:v>21.26</c:v>
                </c:pt>
                <c:pt idx="24">
                  <c:v>20.96</c:v>
                </c:pt>
                <c:pt idx="25">
                  <c:v>9.77</c:v>
                </c:pt>
                <c:pt idx="26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F5-44CD-B5ED-B175D9ED2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496847"/>
        <c:axId val="291648943"/>
      </c:scatterChart>
      <c:valAx>
        <c:axId val="43549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IR2[mA]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1648943"/>
        <c:crosses val="autoZero"/>
        <c:crossBetween val="midCat"/>
      </c:valAx>
      <c:valAx>
        <c:axId val="29164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Uout</a:t>
                </a:r>
                <a:r>
                  <a:rPr lang="fr-CH" baseline="0"/>
                  <a:t> / UR2 [v]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549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263977</xdr:colOff>
      <xdr:row>11</xdr:row>
      <xdr:rowOff>38100</xdr:rowOff>
    </xdr:from>
    <xdr:to>
      <xdr:col>10</xdr:col>
      <xdr:colOff>476250</xdr:colOff>
      <xdr:row>30</xdr:row>
      <xdr:rowOff>176893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35655C-AA33-61CD-C392-9F9BA94DF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272143</xdr:colOff>
      <xdr:row>11</xdr:row>
      <xdr:rowOff>54428</xdr:rowOff>
    </xdr:from>
    <xdr:to>
      <xdr:col>22</xdr:col>
      <xdr:colOff>198666</xdr:colOff>
      <xdr:row>31</xdr:row>
      <xdr:rowOff>2721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EA0E9E4-C276-4055-9BF9-DB21355CD537}"/>
            </a:ext>
            <a:ext uri="{147F2762-F138-4A5C-976F-8EAC2B608ADB}">
              <a16:predDERef xmlns:a16="http://schemas.microsoft.com/office/drawing/2014/main" pred="{1D35655C-AA33-61CD-C392-9F9BA94DF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32</xdr:row>
      <xdr:rowOff>0</xdr:rowOff>
    </xdr:from>
    <xdr:to>
      <xdr:col>10</xdr:col>
      <xdr:colOff>498023</xdr:colOff>
      <xdr:row>52</xdr:row>
      <xdr:rowOff>138793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311D230-11EA-46FF-9163-A9EB46CFF939}"/>
            </a:ext>
            <a:ext uri="{147F2762-F138-4A5C-976F-8EAC2B608ADB}">
              <a16:predDERef xmlns:a16="http://schemas.microsoft.com/office/drawing/2014/main" pred="{3EA0E9E4-C276-4055-9BF9-DB21355CD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4762</xdr:rowOff>
    </xdr:from>
    <xdr:to>
      <xdr:col>19</xdr:col>
      <xdr:colOff>0</xdr:colOff>
      <xdr:row>23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6681D66-3F40-4877-B021-D8B47C6CF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"/>
  <sheetViews>
    <sheetView topLeftCell="H1" zoomScale="115" zoomScaleNormal="115" workbookViewId="0">
      <selection activeCell="X25" sqref="X25"/>
    </sheetView>
  </sheetViews>
  <sheetFormatPr baseColWidth="10" defaultColWidth="9.109375" defaultRowHeight="14.4" x14ac:dyDescent="0.3"/>
  <cols>
    <col min="6" max="8" width="10.88671875" customWidth="1"/>
    <col min="18" max="18" width="9.33203125" bestFit="1" customWidth="1"/>
    <col min="19" max="19" width="7.109375" bestFit="1" customWidth="1"/>
    <col min="20" max="20" width="8.6640625" bestFit="1" customWidth="1"/>
    <col min="21" max="21" width="8.88671875" bestFit="1" customWidth="1"/>
    <col min="22" max="22" width="9.33203125" bestFit="1" customWidth="1"/>
    <col min="23" max="23" width="10" bestFit="1" customWidth="1"/>
    <col min="24" max="27" width="11.88671875" customWidth="1"/>
  </cols>
  <sheetData>
    <row r="1" spans="1:27" ht="15" thickBot="1" x14ac:dyDescent="0.35">
      <c r="D1" t="s">
        <v>15</v>
      </c>
      <c r="U1" t="s">
        <v>16</v>
      </c>
    </row>
    <row r="2" spans="1:27" x14ac:dyDescent="0.3">
      <c r="A2" s="2" t="s">
        <v>0</v>
      </c>
      <c r="B2" s="44" t="s">
        <v>1</v>
      </c>
      <c r="C2" s="46"/>
      <c r="D2" s="44" t="s">
        <v>2</v>
      </c>
      <c r="E2" s="46"/>
      <c r="F2" s="44" t="s">
        <v>3</v>
      </c>
      <c r="G2" s="45"/>
      <c r="H2" s="46"/>
      <c r="R2" s="2" t="s">
        <v>0</v>
      </c>
      <c r="S2" s="49" t="s">
        <v>1</v>
      </c>
      <c r="T2" s="50"/>
      <c r="U2" s="44" t="s">
        <v>2</v>
      </c>
      <c r="V2" s="46"/>
      <c r="W2" s="44" t="s">
        <v>3</v>
      </c>
      <c r="X2" s="45"/>
      <c r="Y2" s="46"/>
    </row>
    <row r="3" spans="1:27" ht="15" thickBot="1" x14ac:dyDescent="0.35">
      <c r="A3" s="3" t="s">
        <v>4</v>
      </c>
      <c r="B3" s="6" t="s">
        <v>5</v>
      </c>
      <c r="C3" s="7" t="s">
        <v>6</v>
      </c>
      <c r="D3" s="6" t="s">
        <v>7</v>
      </c>
      <c r="E3" s="7" t="s">
        <v>8</v>
      </c>
      <c r="F3" s="6" t="s">
        <v>9</v>
      </c>
      <c r="G3" s="9" t="s">
        <v>10</v>
      </c>
      <c r="H3" s="7" t="s">
        <v>11</v>
      </c>
      <c r="R3" s="3" t="s">
        <v>4</v>
      </c>
      <c r="S3" s="6" t="s">
        <v>5</v>
      </c>
      <c r="T3" s="7" t="s">
        <v>6</v>
      </c>
      <c r="U3" s="6" t="s">
        <v>7</v>
      </c>
      <c r="V3" s="7" t="s">
        <v>8</v>
      </c>
      <c r="W3" s="6" t="s">
        <v>9</v>
      </c>
      <c r="X3" s="9" t="s">
        <v>10</v>
      </c>
      <c r="Y3" s="7" t="s">
        <v>11</v>
      </c>
    </row>
    <row r="4" spans="1:27" x14ac:dyDescent="0.3">
      <c r="A4" s="4" t="s">
        <v>12</v>
      </c>
      <c r="B4" s="8">
        <v>7.5</v>
      </c>
      <c r="C4" s="8">
        <v>10.531000000000001</v>
      </c>
      <c r="D4" s="8">
        <v>3.355</v>
      </c>
      <c r="E4" s="8">
        <v>0</v>
      </c>
      <c r="F4" s="8">
        <f>+C4*B4</f>
        <v>78.982500000000002</v>
      </c>
      <c r="G4" s="8">
        <f>+E4*D4</f>
        <v>0</v>
      </c>
      <c r="H4" s="5">
        <f>+F4-G4</f>
        <v>78.982500000000002</v>
      </c>
      <c r="R4" s="10">
        <v>0</v>
      </c>
      <c r="S4" s="1" t="s">
        <v>13</v>
      </c>
      <c r="T4" s="1" t="s">
        <v>13</v>
      </c>
      <c r="U4" s="1" t="s">
        <v>13</v>
      </c>
      <c r="V4" s="1" t="s">
        <v>13</v>
      </c>
      <c r="W4" s="1" t="s">
        <v>13</v>
      </c>
      <c r="X4" s="1" t="s">
        <v>13</v>
      </c>
      <c r="Y4" s="11" t="s">
        <v>13</v>
      </c>
    </row>
    <row r="5" spans="1:27" x14ac:dyDescent="0.3">
      <c r="A5" s="10">
        <v>30</v>
      </c>
      <c r="B5" s="1">
        <v>7.5</v>
      </c>
      <c r="C5" s="1">
        <v>118.06</v>
      </c>
      <c r="D5" s="1">
        <v>3.395</v>
      </c>
      <c r="E5" s="1">
        <v>108.2</v>
      </c>
      <c r="F5" s="1">
        <f t="shared" ref="F5:F9" si="0">+C5*B5</f>
        <v>885.45</v>
      </c>
      <c r="G5" s="1">
        <f t="shared" ref="G5:G9" si="1">+E5*D5</f>
        <v>367.339</v>
      </c>
      <c r="H5" s="11">
        <f t="shared" ref="H5:H9" si="2">+F5-G5</f>
        <v>518.1110000000001</v>
      </c>
      <c r="R5" s="10">
        <v>30</v>
      </c>
      <c r="S5" s="1">
        <v>7.5</v>
      </c>
      <c r="T5" s="1">
        <v>121.65</v>
      </c>
      <c r="U5" s="1">
        <v>3.34</v>
      </c>
      <c r="V5" s="1">
        <v>111.22</v>
      </c>
      <c r="W5" s="1">
        <f>+T5*S5</f>
        <v>912.375</v>
      </c>
      <c r="X5" s="1">
        <f t="shared" ref="X5:X9" si="3">+V5*U5</f>
        <v>371.47479999999996</v>
      </c>
      <c r="Y5" s="11">
        <f t="shared" ref="Y5:Y9" si="4">+W5-X5</f>
        <v>540.90020000000004</v>
      </c>
    </row>
    <row r="6" spans="1:27" x14ac:dyDescent="0.3">
      <c r="A6" s="10">
        <v>120</v>
      </c>
      <c r="B6" s="1">
        <v>7.5</v>
      </c>
      <c r="C6" s="1">
        <v>38.24</v>
      </c>
      <c r="D6" s="1">
        <v>3.3650000000000002</v>
      </c>
      <c r="E6" s="1">
        <v>27.84</v>
      </c>
      <c r="F6" s="1">
        <f t="shared" si="0"/>
        <v>286.8</v>
      </c>
      <c r="G6" s="1">
        <f t="shared" si="1"/>
        <v>93.681600000000003</v>
      </c>
      <c r="H6" s="11">
        <f t="shared" si="2"/>
        <v>193.11840000000001</v>
      </c>
      <c r="R6" s="10">
        <v>120</v>
      </c>
      <c r="S6" s="1">
        <v>7.5</v>
      </c>
      <c r="T6" s="1">
        <v>38.270000000000003</v>
      </c>
      <c r="U6" s="1">
        <v>3.34</v>
      </c>
      <c r="V6" s="1">
        <v>27.84</v>
      </c>
      <c r="W6" s="1">
        <f>+T6*S6</f>
        <v>287.02500000000003</v>
      </c>
      <c r="X6" s="1">
        <f t="shared" si="3"/>
        <v>92.985599999999991</v>
      </c>
      <c r="Y6" s="11">
        <f t="shared" si="4"/>
        <v>194.03940000000006</v>
      </c>
    </row>
    <row r="7" spans="1:27" x14ac:dyDescent="0.3">
      <c r="A7" s="10">
        <v>240</v>
      </c>
      <c r="B7" s="1">
        <v>7.5</v>
      </c>
      <c r="C7" s="1">
        <v>24.4</v>
      </c>
      <c r="D7" s="1">
        <v>3.36</v>
      </c>
      <c r="E7" s="1">
        <v>13.93</v>
      </c>
      <c r="F7" s="1">
        <f t="shared" si="0"/>
        <v>183</v>
      </c>
      <c r="G7" s="1">
        <f t="shared" si="1"/>
        <v>46.8048</v>
      </c>
      <c r="H7" s="11">
        <f t="shared" si="2"/>
        <v>136.1952</v>
      </c>
      <c r="R7" s="10">
        <v>240</v>
      </c>
      <c r="S7" s="1">
        <v>7.5</v>
      </c>
      <c r="T7" s="1">
        <v>24.34</v>
      </c>
      <c r="U7" s="1">
        <v>3.34</v>
      </c>
      <c r="V7" s="1">
        <v>13.91</v>
      </c>
      <c r="W7" s="1">
        <f>+T7*S7</f>
        <v>182.55</v>
      </c>
      <c r="X7" s="1">
        <f t="shared" si="3"/>
        <v>46.459399999999995</v>
      </c>
      <c r="Y7" s="11">
        <f t="shared" si="4"/>
        <v>136.09060000000002</v>
      </c>
    </row>
    <row r="8" spans="1:27" x14ac:dyDescent="0.3">
      <c r="A8" s="10">
        <v>510</v>
      </c>
      <c r="B8" s="1">
        <v>7.5</v>
      </c>
      <c r="C8" s="1">
        <v>17.065000000000001</v>
      </c>
      <c r="D8" s="1">
        <v>3.3580000000000001</v>
      </c>
      <c r="E8" s="1">
        <v>6.56</v>
      </c>
      <c r="F8" s="1">
        <f t="shared" si="0"/>
        <v>127.98750000000001</v>
      </c>
      <c r="G8" s="1">
        <f t="shared" si="1"/>
        <v>22.028479999999998</v>
      </c>
      <c r="H8" s="11">
        <f t="shared" si="2"/>
        <v>105.95902000000001</v>
      </c>
      <c r="R8" s="10">
        <v>510</v>
      </c>
      <c r="S8" s="1">
        <v>7.5</v>
      </c>
      <c r="T8" s="1">
        <v>16.97</v>
      </c>
      <c r="U8" s="1">
        <v>3.34</v>
      </c>
      <c r="V8" s="1">
        <v>6.54</v>
      </c>
      <c r="W8" s="1">
        <f>+T8*S8</f>
        <v>127.27499999999999</v>
      </c>
      <c r="X8" s="1">
        <f t="shared" si="3"/>
        <v>21.843599999999999</v>
      </c>
      <c r="Y8" s="11">
        <f t="shared" si="4"/>
        <v>105.4314</v>
      </c>
    </row>
    <row r="9" spans="1:27" ht="15" thickBot="1" x14ac:dyDescent="0.35">
      <c r="A9" s="12">
        <v>1000</v>
      </c>
      <c r="B9" s="13">
        <v>7.5</v>
      </c>
      <c r="C9" s="13">
        <v>13.872</v>
      </c>
      <c r="D9" s="13">
        <v>3.3559999999999999</v>
      </c>
      <c r="E9" s="13">
        <v>3.35</v>
      </c>
      <c r="F9" s="13">
        <f t="shared" si="0"/>
        <v>104.03999999999999</v>
      </c>
      <c r="G9" s="13">
        <f t="shared" si="1"/>
        <v>11.242599999999999</v>
      </c>
      <c r="H9" s="14">
        <f t="shared" si="2"/>
        <v>92.797399999999996</v>
      </c>
      <c r="R9" s="12">
        <v>1000</v>
      </c>
      <c r="S9" s="13">
        <v>7.5</v>
      </c>
      <c r="T9" s="13">
        <v>13.76</v>
      </c>
      <c r="U9" s="13">
        <v>3.34</v>
      </c>
      <c r="V9" s="13">
        <v>3.34</v>
      </c>
      <c r="W9" s="13">
        <f>+T9*S9</f>
        <v>103.2</v>
      </c>
      <c r="X9" s="13">
        <f t="shared" si="3"/>
        <v>11.1556</v>
      </c>
      <c r="Y9" s="14">
        <f t="shared" si="4"/>
        <v>92.044399999999996</v>
      </c>
    </row>
    <row r="15" spans="1:27" ht="15" thickBot="1" x14ac:dyDescent="0.35"/>
    <row r="16" spans="1:27" x14ac:dyDescent="0.3">
      <c r="X16" s="47"/>
      <c r="Y16" s="44" t="s">
        <v>17</v>
      </c>
      <c r="Z16" s="45"/>
      <c r="AA16" s="46"/>
    </row>
    <row r="17" spans="24:27" ht="15" thickBot="1" x14ac:dyDescent="0.35">
      <c r="X17" s="48"/>
      <c r="Y17" s="6" t="s">
        <v>9</v>
      </c>
      <c r="Z17" s="9" t="s">
        <v>10</v>
      </c>
      <c r="AA17" s="7" t="s">
        <v>11</v>
      </c>
    </row>
    <row r="18" spans="24:27" x14ac:dyDescent="0.3">
      <c r="X18" s="15" t="s">
        <v>19</v>
      </c>
      <c r="Y18" s="4">
        <v>750</v>
      </c>
      <c r="Z18" s="1">
        <v>330</v>
      </c>
      <c r="AA18" s="11">
        <f t="shared" ref="AA18:AA19" si="5">+Y18-Z18</f>
        <v>420</v>
      </c>
    </row>
    <row r="19" spans="24:27" x14ac:dyDescent="0.3">
      <c r="X19" s="15" t="s">
        <v>20</v>
      </c>
      <c r="Y19" s="10">
        <f>F5</f>
        <v>885.45</v>
      </c>
      <c r="Z19" s="1">
        <f>G5</f>
        <v>367.339</v>
      </c>
      <c r="AA19" s="11">
        <f t="shared" si="5"/>
        <v>518.1110000000001</v>
      </c>
    </row>
    <row r="20" spans="24:27" x14ac:dyDescent="0.3">
      <c r="X20" s="16" t="s">
        <v>18</v>
      </c>
      <c r="Y20" s="10">
        <f>+Y19-Y18</f>
        <v>135.45000000000005</v>
      </c>
      <c r="Z20" s="1">
        <f t="shared" ref="Z20:AA20" si="6">+Z19-Z18</f>
        <v>37.338999999999999</v>
      </c>
      <c r="AA20" s="11">
        <f t="shared" si="6"/>
        <v>98.111000000000104</v>
      </c>
    </row>
    <row r="21" spans="24:27" ht="15" thickBot="1" x14ac:dyDescent="0.35">
      <c r="X21" s="17" t="s">
        <v>21</v>
      </c>
      <c r="Y21" s="18">
        <f>+(Y20/Y19)*100</f>
        <v>15.297306454345252</v>
      </c>
      <c r="Z21" s="19">
        <f t="shared" ref="Z21:AA21" si="7">+(Z20/Z19)*100</f>
        <v>10.16472522656184</v>
      </c>
      <c r="AA21" s="20">
        <f t="shared" si="7"/>
        <v>18.936289713980226</v>
      </c>
    </row>
    <row r="38" spans="24:24" x14ac:dyDescent="0.3">
      <c r="X38" t="s">
        <v>14</v>
      </c>
    </row>
  </sheetData>
  <mergeCells count="8">
    <mergeCell ref="Y16:AA16"/>
    <mergeCell ref="X16:X17"/>
    <mergeCell ref="W2:Y2"/>
    <mergeCell ref="B2:C2"/>
    <mergeCell ref="D2:E2"/>
    <mergeCell ref="F2:H2"/>
    <mergeCell ref="S2:T2"/>
    <mergeCell ref="U2:V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931F-12C2-4D67-8D49-5228DB5DA35C}">
  <dimension ref="A1:N35"/>
  <sheetViews>
    <sheetView tabSelected="1" workbookViewId="0">
      <selection activeCell="V12" sqref="V12"/>
    </sheetView>
  </sheetViews>
  <sheetFormatPr baseColWidth="10" defaultRowHeight="14.4" x14ac:dyDescent="0.3"/>
  <cols>
    <col min="2" max="3" width="12.88671875" customWidth="1"/>
    <col min="4" max="4" width="18.6640625" customWidth="1"/>
  </cols>
  <sheetData>
    <row r="1" spans="1:14" x14ac:dyDescent="0.3">
      <c r="A1" s="2" t="s">
        <v>22</v>
      </c>
      <c r="B1" s="44" t="s">
        <v>23</v>
      </c>
      <c r="C1" s="46"/>
      <c r="D1" s="2" t="s">
        <v>31</v>
      </c>
      <c r="E1" s="2" t="s">
        <v>29</v>
      </c>
      <c r="F1" s="2" t="s">
        <v>33</v>
      </c>
      <c r="G1" s="2" t="s">
        <v>34</v>
      </c>
      <c r="H1" s="2" t="s">
        <v>36</v>
      </c>
      <c r="I1" s="21"/>
      <c r="J1" s="21"/>
      <c r="K1" s="21"/>
      <c r="L1" s="21" t="s">
        <v>24</v>
      </c>
      <c r="M1" s="21" t="s">
        <v>26</v>
      </c>
      <c r="N1" s="21" t="s">
        <v>27</v>
      </c>
    </row>
    <row r="2" spans="1:14" ht="15" thickBot="1" x14ac:dyDescent="0.35">
      <c r="A2" s="28" t="s">
        <v>38</v>
      </c>
      <c r="B2" s="31" t="s">
        <v>37</v>
      </c>
      <c r="C2" s="32" t="s">
        <v>30</v>
      </c>
      <c r="D2" s="28" t="s">
        <v>32</v>
      </c>
      <c r="E2" s="28" t="s">
        <v>28</v>
      </c>
      <c r="F2" s="28" t="s">
        <v>35</v>
      </c>
      <c r="G2" s="28" t="s">
        <v>35</v>
      </c>
      <c r="H2" s="28" t="s">
        <v>35</v>
      </c>
      <c r="I2" s="21"/>
      <c r="J2" s="21"/>
      <c r="K2" s="21"/>
      <c r="L2" s="21" t="s">
        <v>25</v>
      </c>
      <c r="M2" s="21" t="s">
        <v>25</v>
      </c>
      <c r="N2" s="21" t="s">
        <v>28</v>
      </c>
    </row>
    <row r="3" spans="1:14" x14ac:dyDescent="0.3">
      <c r="A3" s="27">
        <v>10</v>
      </c>
      <c r="B3" s="29">
        <f>24-1.25-(5*(A3/1000))</f>
        <v>22.7</v>
      </c>
      <c r="C3" s="30">
        <v>22.61</v>
      </c>
      <c r="D3" s="29">
        <f>((C3-B3)/B3)*100</f>
        <v>-0.39647577092510955</v>
      </c>
      <c r="E3" s="33">
        <f>(24-1.25-(5*(A3/1000)))/(A3/1000)</f>
        <v>2270</v>
      </c>
      <c r="F3" s="34">
        <f>5*(A3/1000)^2</f>
        <v>5.0000000000000001E-4</v>
      </c>
      <c r="G3" s="30">
        <f>E3*(A3/1000)^2</f>
        <v>0.22700000000000001</v>
      </c>
      <c r="H3" s="35">
        <f>(24-C3)*(A3/1000)</f>
        <v>1.3900000000000006E-2</v>
      </c>
      <c r="I3" s="21"/>
      <c r="J3" s="21"/>
      <c r="K3" s="21"/>
      <c r="L3" s="21">
        <v>1.25</v>
      </c>
      <c r="M3" s="21">
        <v>24</v>
      </c>
      <c r="N3" s="21">
        <v>5</v>
      </c>
    </row>
    <row r="4" spans="1:14" x14ac:dyDescent="0.3">
      <c r="A4" s="10">
        <v>20</v>
      </c>
      <c r="B4" s="29">
        <f t="shared" ref="B4:B29" si="0">24-1.25-(5*(A4/1000))</f>
        <v>22.65</v>
      </c>
      <c r="C4" s="1">
        <v>22.65</v>
      </c>
      <c r="D4" s="22">
        <f t="shared" ref="D4:D29" si="1">((C4-B4)/B4)*100</f>
        <v>0</v>
      </c>
      <c r="E4" s="23">
        <f t="shared" ref="E4:E27" si="2">(24-1.25-(5*(A4/1000)))/(A4/1000)</f>
        <v>1132.5</v>
      </c>
      <c r="F4" s="24">
        <f t="shared" ref="F4:F29" si="3">5*(A4/1000)^2</f>
        <v>2E-3</v>
      </c>
      <c r="G4" s="1">
        <f t="shared" ref="G4:G29" si="4">E4*(A4/1000)^2</f>
        <v>0.45300000000000001</v>
      </c>
      <c r="H4" s="35">
        <f t="shared" ref="H4:H29" si="5">(24-C4)*(A4/1000)</f>
        <v>2.7000000000000027E-2</v>
      </c>
      <c r="I4" s="21"/>
      <c r="J4" s="21"/>
      <c r="K4" s="21"/>
      <c r="L4" s="21"/>
      <c r="M4" s="21"/>
    </row>
    <row r="5" spans="1:14" x14ac:dyDescent="0.3">
      <c r="A5" s="10">
        <v>30</v>
      </c>
      <c r="B5" s="29">
        <f t="shared" si="0"/>
        <v>22.6</v>
      </c>
      <c r="C5" s="1">
        <v>22.63</v>
      </c>
      <c r="D5" s="22">
        <f t="shared" si="1"/>
        <v>0.13274336283184771</v>
      </c>
      <c r="E5" s="23">
        <f t="shared" si="2"/>
        <v>753.33333333333337</v>
      </c>
      <c r="F5" s="24">
        <f t="shared" si="3"/>
        <v>4.4999999999999997E-3</v>
      </c>
      <c r="G5" s="1">
        <f t="shared" si="4"/>
        <v>0.67800000000000005</v>
      </c>
      <c r="H5" s="35">
        <f t="shared" si="5"/>
        <v>4.1100000000000025E-2</v>
      </c>
      <c r="I5" s="21"/>
      <c r="J5" s="21"/>
      <c r="K5" s="21"/>
      <c r="L5" s="21"/>
      <c r="M5" s="21"/>
    </row>
    <row r="6" spans="1:14" x14ac:dyDescent="0.3">
      <c r="A6" s="10">
        <v>40</v>
      </c>
      <c r="B6" s="29">
        <f t="shared" si="0"/>
        <v>22.55</v>
      </c>
      <c r="C6" s="1">
        <v>22.6</v>
      </c>
      <c r="D6" s="22">
        <f t="shared" si="1"/>
        <v>0.22172949002217607</v>
      </c>
      <c r="E6" s="23">
        <f t="shared" si="2"/>
        <v>563.75</v>
      </c>
      <c r="F6" s="24">
        <f t="shared" si="3"/>
        <v>8.0000000000000002E-3</v>
      </c>
      <c r="G6" s="1">
        <f t="shared" si="4"/>
        <v>0.90200000000000002</v>
      </c>
      <c r="H6" s="35">
        <f t="shared" si="5"/>
        <v>5.5999999999999946E-2</v>
      </c>
      <c r="I6" s="21"/>
      <c r="J6" s="21"/>
      <c r="K6" s="21"/>
      <c r="L6" s="21"/>
      <c r="M6" s="21"/>
    </row>
    <row r="7" spans="1:14" x14ac:dyDescent="0.3">
      <c r="A7" s="10">
        <v>50</v>
      </c>
      <c r="B7" s="29">
        <f t="shared" si="0"/>
        <v>22.5</v>
      </c>
      <c r="C7" s="1">
        <v>22.59</v>
      </c>
      <c r="D7" s="22">
        <f t="shared" si="1"/>
        <v>0.39999999999999941</v>
      </c>
      <c r="E7" s="23">
        <f t="shared" si="2"/>
        <v>450</v>
      </c>
      <c r="F7" s="24">
        <f t="shared" si="3"/>
        <v>1.2500000000000002E-2</v>
      </c>
      <c r="G7" s="1">
        <f t="shared" si="4"/>
        <v>1.1250000000000002</v>
      </c>
      <c r="H7" s="35">
        <f t="shared" si="5"/>
        <v>7.0500000000000007E-2</v>
      </c>
      <c r="I7" s="21"/>
      <c r="J7" s="21"/>
      <c r="K7" s="21"/>
      <c r="L7" s="21"/>
      <c r="M7" s="21"/>
    </row>
    <row r="8" spans="1:14" x14ac:dyDescent="0.3">
      <c r="A8" s="10">
        <v>60</v>
      </c>
      <c r="B8" s="29">
        <f t="shared" si="0"/>
        <v>22.45</v>
      </c>
      <c r="C8" s="1">
        <v>22.56</v>
      </c>
      <c r="D8" s="22">
        <f t="shared" si="1"/>
        <v>0.48997772828507541</v>
      </c>
      <c r="E8" s="23">
        <f t="shared" si="2"/>
        <v>374.16666666666669</v>
      </c>
      <c r="F8" s="24">
        <f t="shared" si="3"/>
        <v>1.7999999999999999E-2</v>
      </c>
      <c r="G8" s="1">
        <f t="shared" si="4"/>
        <v>1.347</v>
      </c>
      <c r="H8" s="35">
        <f t="shared" si="5"/>
        <v>8.6400000000000074E-2</v>
      </c>
      <c r="I8" s="21"/>
      <c r="J8" s="21"/>
      <c r="K8" s="21"/>
      <c r="L8" s="21"/>
      <c r="M8" s="21"/>
    </row>
    <row r="9" spans="1:14" x14ac:dyDescent="0.3">
      <c r="A9" s="10">
        <v>70</v>
      </c>
      <c r="B9" s="29">
        <f t="shared" si="0"/>
        <v>22.4</v>
      </c>
      <c r="C9" s="1">
        <v>22.39</v>
      </c>
      <c r="D9" s="22">
        <f t="shared" si="1"/>
        <v>-4.4642857142848262E-2</v>
      </c>
      <c r="E9" s="23">
        <f t="shared" si="2"/>
        <v>319.99999999999994</v>
      </c>
      <c r="F9" s="24">
        <f t="shared" si="3"/>
        <v>2.4500000000000004E-2</v>
      </c>
      <c r="G9" s="1">
        <f t="shared" si="4"/>
        <v>1.5679999999999998</v>
      </c>
      <c r="H9" s="35">
        <f t="shared" si="5"/>
        <v>0.11269999999999997</v>
      </c>
      <c r="I9" s="21"/>
      <c r="J9" s="21"/>
      <c r="K9" s="21"/>
      <c r="L9" s="21"/>
      <c r="M9" s="21"/>
    </row>
    <row r="10" spans="1:14" x14ac:dyDescent="0.3">
      <c r="A10" s="10">
        <v>80</v>
      </c>
      <c r="B10" s="29">
        <f t="shared" si="0"/>
        <v>22.35</v>
      </c>
      <c r="C10" s="1">
        <v>22.25</v>
      </c>
      <c r="D10" s="22">
        <f t="shared" si="1"/>
        <v>-0.44742729306488327</v>
      </c>
      <c r="E10" s="23">
        <f t="shared" si="2"/>
        <v>279.375</v>
      </c>
      <c r="F10" s="24">
        <f t="shared" si="3"/>
        <v>3.2000000000000001E-2</v>
      </c>
      <c r="G10" s="1">
        <f t="shared" si="4"/>
        <v>1.788</v>
      </c>
      <c r="H10" s="35">
        <f t="shared" si="5"/>
        <v>0.14000000000000001</v>
      </c>
      <c r="I10" s="21"/>
      <c r="J10" s="21"/>
      <c r="K10" s="21"/>
      <c r="L10" s="21"/>
      <c r="M10" s="21"/>
    </row>
    <row r="11" spans="1:14" x14ac:dyDescent="0.3">
      <c r="A11" s="10">
        <v>90</v>
      </c>
      <c r="B11" s="29">
        <f t="shared" si="0"/>
        <v>22.3</v>
      </c>
      <c r="C11" s="1">
        <v>22.19</v>
      </c>
      <c r="D11" s="22">
        <f t="shared" si="1"/>
        <v>-0.49327354260089429</v>
      </c>
      <c r="E11" s="23">
        <f t="shared" si="2"/>
        <v>247.7777777777778</v>
      </c>
      <c r="F11" s="24">
        <f t="shared" si="3"/>
        <v>4.0499999999999994E-2</v>
      </c>
      <c r="G11" s="1">
        <f t="shared" si="4"/>
        <v>2.0070000000000001</v>
      </c>
      <c r="H11" s="35">
        <f t="shared" si="5"/>
        <v>0.16289999999999988</v>
      </c>
      <c r="I11" s="21"/>
      <c r="J11" s="21"/>
      <c r="K11" s="21"/>
      <c r="L11" s="21"/>
      <c r="M11" s="21"/>
    </row>
    <row r="12" spans="1:14" x14ac:dyDescent="0.3">
      <c r="A12" s="10">
        <v>100</v>
      </c>
      <c r="B12" s="29">
        <f t="shared" si="0"/>
        <v>22.25</v>
      </c>
      <c r="C12" s="1">
        <v>22.14</v>
      </c>
      <c r="D12" s="22">
        <f t="shared" si="1"/>
        <v>-0.49438202247190755</v>
      </c>
      <c r="E12" s="23">
        <f t="shared" si="2"/>
        <v>222.5</v>
      </c>
      <c r="F12" s="24">
        <f t="shared" si="3"/>
        <v>5.000000000000001E-2</v>
      </c>
      <c r="G12" s="1">
        <f t="shared" si="4"/>
        <v>2.2250000000000005</v>
      </c>
      <c r="H12" s="35">
        <f t="shared" si="5"/>
        <v>0.18599999999999994</v>
      </c>
      <c r="I12" s="21"/>
      <c r="J12" s="21"/>
      <c r="K12" s="21"/>
      <c r="L12" s="21"/>
      <c r="M12" s="21"/>
    </row>
    <row r="13" spans="1:14" x14ac:dyDescent="0.3">
      <c r="A13" s="10">
        <v>110</v>
      </c>
      <c r="B13" s="29">
        <f t="shared" si="0"/>
        <v>22.2</v>
      </c>
      <c r="C13" s="1">
        <v>21.97</v>
      </c>
      <c r="D13" s="22">
        <f t="shared" si="1"/>
        <v>-1.0360360360360379</v>
      </c>
      <c r="E13" s="23">
        <f t="shared" si="2"/>
        <v>201.81818181818181</v>
      </c>
      <c r="F13" s="24">
        <f t="shared" si="3"/>
        <v>6.0499999999999998E-2</v>
      </c>
      <c r="G13" s="1">
        <f t="shared" si="4"/>
        <v>2.4419999999999997</v>
      </c>
      <c r="H13" s="35">
        <f t="shared" si="5"/>
        <v>0.22330000000000014</v>
      </c>
      <c r="I13" s="21"/>
      <c r="J13" s="21"/>
      <c r="K13" s="21"/>
      <c r="L13" s="21"/>
      <c r="M13" s="21"/>
    </row>
    <row r="14" spans="1:14" x14ac:dyDescent="0.3">
      <c r="A14" s="10">
        <v>120</v>
      </c>
      <c r="B14" s="29">
        <f t="shared" si="0"/>
        <v>22.15</v>
      </c>
      <c r="C14" s="1">
        <v>21.91</v>
      </c>
      <c r="D14" s="22">
        <f t="shared" si="1"/>
        <v>-1.0835214446952526</v>
      </c>
      <c r="E14" s="23">
        <f t="shared" si="2"/>
        <v>184.58333333333331</v>
      </c>
      <c r="F14" s="24">
        <f t="shared" si="3"/>
        <v>7.1999999999999995E-2</v>
      </c>
      <c r="G14" s="1">
        <f t="shared" si="4"/>
        <v>2.6579999999999995</v>
      </c>
      <c r="H14" s="35">
        <f t="shared" si="5"/>
        <v>0.25079999999999997</v>
      </c>
      <c r="I14" s="21"/>
      <c r="J14" s="21"/>
      <c r="K14" s="21"/>
      <c r="L14" s="21"/>
      <c r="M14" s="21"/>
    </row>
    <row r="15" spans="1:14" x14ac:dyDescent="0.3">
      <c r="A15" s="10">
        <v>130</v>
      </c>
      <c r="B15" s="29">
        <f t="shared" si="0"/>
        <v>22.1</v>
      </c>
      <c r="C15" s="1">
        <v>21.86</v>
      </c>
      <c r="D15" s="22">
        <f t="shared" si="1"/>
        <v>-1.0859728506787421</v>
      </c>
      <c r="E15" s="23">
        <f t="shared" si="2"/>
        <v>170</v>
      </c>
      <c r="F15" s="24">
        <f t="shared" si="3"/>
        <v>8.4500000000000006E-2</v>
      </c>
      <c r="G15" s="1">
        <f t="shared" si="4"/>
        <v>2.8730000000000002</v>
      </c>
      <c r="H15" s="35">
        <f t="shared" si="5"/>
        <v>0.27820000000000006</v>
      </c>
      <c r="I15" s="21"/>
      <c r="J15" s="21"/>
      <c r="K15" s="21"/>
      <c r="L15" s="21"/>
      <c r="M15" s="21"/>
    </row>
    <row r="16" spans="1:14" x14ac:dyDescent="0.3">
      <c r="A16" s="10">
        <v>140</v>
      </c>
      <c r="B16" s="29">
        <f t="shared" si="0"/>
        <v>22.05</v>
      </c>
      <c r="C16" s="1">
        <v>21.86</v>
      </c>
      <c r="D16" s="22">
        <f t="shared" si="1"/>
        <v>-0.86167800453515309</v>
      </c>
      <c r="E16" s="23">
        <f t="shared" si="2"/>
        <v>157.5</v>
      </c>
      <c r="F16" s="24">
        <f t="shared" si="3"/>
        <v>9.8000000000000018E-2</v>
      </c>
      <c r="G16" s="1">
        <f t="shared" si="4"/>
        <v>3.0870000000000006</v>
      </c>
      <c r="H16" s="35">
        <f t="shared" si="5"/>
        <v>0.29960000000000009</v>
      </c>
      <c r="I16" s="21"/>
      <c r="J16" s="21"/>
      <c r="K16" s="21"/>
      <c r="L16" s="21"/>
      <c r="M16" s="21"/>
    </row>
    <row r="17" spans="1:13" x14ac:dyDescent="0.3">
      <c r="A17" s="10">
        <v>150</v>
      </c>
      <c r="B17" s="29">
        <f t="shared" si="0"/>
        <v>22</v>
      </c>
      <c r="C17" s="1">
        <v>21.76</v>
      </c>
      <c r="D17" s="22">
        <f t="shared" si="1"/>
        <v>-1.0909090909090839</v>
      </c>
      <c r="E17" s="23">
        <f t="shared" si="2"/>
        <v>146.66666666666669</v>
      </c>
      <c r="F17" s="24">
        <f t="shared" si="3"/>
        <v>0.11249999999999999</v>
      </c>
      <c r="G17" s="1">
        <f t="shared" si="4"/>
        <v>3.3000000000000003</v>
      </c>
      <c r="H17" s="35">
        <f t="shared" si="5"/>
        <v>0.33599999999999974</v>
      </c>
      <c r="I17" s="21"/>
      <c r="J17" s="21"/>
      <c r="K17" s="21"/>
      <c r="L17" s="21"/>
      <c r="M17" s="21"/>
    </row>
    <row r="18" spans="1:13" x14ac:dyDescent="0.3">
      <c r="A18" s="10">
        <v>160</v>
      </c>
      <c r="B18" s="29">
        <f t="shared" si="0"/>
        <v>21.95</v>
      </c>
      <c r="C18" s="1">
        <v>21.69</v>
      </c>
      <c r="D18" s="22">
        <f t="shared" si="1"/>
        <v>-1.1845102505694669</v>
      </c>
      <c r="E18" s="23">
        <f t="shared" si="2"/>
        <v>137.1875</v>
      </c>
      <c r="F18" s="24">
        <f t="shared" si="3"/>
        <v>0.128</v>
      </c>
      <c r="G18" s="1">
        <f t="shared" si="4"/>
        <v>3.512</v>
      </c>
      <c r="H18" s="35">
        <f t="shared" si="5"/>
        <v>0.36959999999999982</v>
      </c>
      <c r="I18" s="21"/>
      <c r="J18" s="21"/>
      <c r="K18" s="21"/>
      <c r="L18" s="21"/>
      <c r="M18" s="21"/>
    </row>
    <row r="19" spans="1:13" x14ac:dyDescent="0.3">
      <c r="A19" s="10">
        <v>170</v>
      </c>
      <c r="B19" s="29">
        <f t="shared" si="0"/>
        <v>21.9</v>
      </c>
      <c r="C19" s="1">
        <v>21.64</v>
      </c>
      <c r="D19" s="22">
        <f t="shared" si="1"/>
        <v>-1.1872146118721372</v>
      </c>
      <c r="E19" s="23">
        <f t="shared" si="2"/>
        <v>128.8235294117647</v>
      </c>
      <c r="F19" s="24">
        <f t="shared" si="3"/>
        <v>0.14450000000000002</v>
      </c>
      <c r="G19" s="1">
        <f t="shared" si="4"/>
        <v>3.7230000000000003</v>
      </c>
      <c r="H19" s="35">
        <f t="shared" si="5"/>
        <v>0.40119999999999995</v>
      </c>
      <c r="I19" s="21"/>
      <c r="J19" s="21"/>
      <c r="K19" s="21"/>
      <c r="L19" s="21"/>
      <c r="M19" s="21"/>
    </row>
    <row r="20" spans="1:13" x14ac:dyDescent="0.3">
      <c r="A20" s="10">
        <v>180</v>
      </c>
      <c r="B20" s="29">
        <f t="shared" si="0"/>
        <v>21.85</v>
      </c>
      <c r="C20" s="1">
        <v>21.59</v>
      </c>
      <c r="D20" s="22">
        <f t="shared" si="1"/>
        <v>-1.1899313501144235</v>
      </c>
      <c r="E20" s="23">
        <f t="shared" si="2"/>
        <v>121.3888888888889</v>
      </c>
      <c r="F20" s="24">
        <f t="shared" si="3"/>
        <v>0.16199999999999998</v>
      </c>
      <c r="G20" s="1">
        <f t="shared" si="4"/>
        <v>3.9330000000000003</v>
      </c>
      <c r="H20" s="35">
        <f t="shared" si="5"/>
        <v>0.43380000000000002</v>
      </c>
      <c r="I20" s="21"/>
      <c r="J20" s="21"/>
      <c r="K20" s="21"/>
      <c r="L20" s="21"/>
      <c r="M20" s="21"/>
    </row>
    <row r="21" spans="1:13" x14ac:dyDescent="0.3">
      <c r="A21" s="10">
        <v>190</v>
      </c>
      <c r="B21" s="29">
        <f t="shared" si="0"/>
        <v>21.8</v>
      </c>
      <c r="C21" s="1">
        <v>21.53</v>
      </c>
      <c r="D21" s="22">
        <f t="shared" si="1"/>
        <v>-1.238532110091741</v>
      </c>
      <c r="E21" s="23">
        <f t="shared" si="2"/>
        <v>114.73684210526316</v>
      </c>
      <c r="F21" s="24">
        <f t="shared" si="3"/>
        <v>0.18049999999999999</v>
      </c>
      <c r="G21" s="1">
        <f t="shared" si="4"/>
        <v>4.1420000000000003</v>
      </c>
      <c r="H21" s="35">
        <f t="shared" si="5"/>
        <v>0.46929999999999977</v>
      </c>
      <c r="I21" s="21"/>
      <c r="J21" s="21"/>
      <c r="K21" s="21"/>
      <c r="L21" s="21"/>
      <c r="M21" s="21"/>
    </row>
    <row r="22" spans="1:13" x14ac:dyDescent="0.3">
      <c r="A22" s="10">
        <v>200</v>
      </c>
      <c r="B22" s="29">
        <f t="shared" si="0"/>
        <v>21.75</v>
      </c>
      <c r="C22" s="1">
        <v>21.48</v>
      </c>
      <c r="D22" s="22">
        <f t="shared" si="1"/>
        <v>-1.2413793103448256</v>
      </c>
      <c r="E22" s="23">
        <f t="shared" si="2"/>
        <v>108.75</v>
      </c>
      <c r="F22" s="24">
        <f t="shared" si="3"/>
        <v>0.20000000000000004</v>
      </c>
      <c r="G22" s="1">
        <f t="shared" si="4"/>
        <v>4.3500000000000005</v>
      </c>
      <c r="H22" s="35">
        <f t="shared" si="5"/>
        <v>0.50399999999999989</v>
      </c>
      <c r="I22" s="21"/>
      <c r="J22" s="21"/>
      <c r="K22" s="21"/>
      <c r="L22" s="21"/>
      <c r="M22" s="21"/>
    </row>
    <row r="23" spans="1:13" x14ac:dyDescent="0.3">
      <c r="A23" s="10">
        <v>210</v>
      </c>
      <c r="B23" s="29">
        <f t="shared" si="0"/>
        <v>21.7</v>
      </c>
      <c r="C23" s="1">
        <v>21.43</v>
      </c>
      <c r="D23" s="22">
        <f t="shared" si="1"/>
        <v>-1.2442396313364035</v>
      </c>
      <c r="E23" s="23">
        <f t="shared" si="2"/>
        <v>103.33333333333333</v>
      </c>
      <c r="F23" s="24">
        <f t="shared" si="3"/>
        <v>0.22049999999999997</v>
      </c>
      <c r="G23" s="1">
        <f t="shared" si="4"/>
        <v>4.5569999999999995</v>
      </c>
      <c r="H23" s="35">
        <f t="shared" si="5"/>
        <v>0.53970000000000007</v>
      </c>
      <c r="I23" s="21"/>
      <c r="J23" s="21"/>
      <c r="K23" s="21"/>
      <c r="L23" s="21"/>
      <c r="M23" s="21"/>
    </row>
    <row r="24" spans="1:13" x14ac:dyDescent="0.3">
      <c r="A24" s="10">
        <v>220</v>
      </c>
      <c r="B24" s="29">
        <f t="shared" si="0"/>
        <v>21.65</v>
      </c>
      <c r="C24" s="1">
        <v>21.37</v>
      </c>
      <c r="D24" s="22">
        <f t="shared" si="1"/>
        <v>-1.2933025404156933</v>
      </c>
      <c r="E24" s="23">
        <f t="shared" si="2"/>
        <v>98.409090909090907</v>
      </c>
      <c r="F24" s="24">
        <f t="shared" si="3"/>
        <v>0.24199999999999999</v>
      </c>
      <c r="G24" s="1">
        <f t="shared" si="4"/>
        <v>4.7629999999999999</v>
      </c>
      <c r="H24" s="35">
        <f t="shared" si="5"/>
        <v>0.57859999999999978</v>
      </c>
      <c r="I24" s="21"/>
      <c r="J24" s="21"/>
      <c r="K24" s="21"/>
      <c r="L24" s="21"/>
      <c r="M24" s="21"/>
    </row>
    <row r="25" spans="1:13" x14ac:dyDescent="0.3">
      <c r="A25" s="10">
        <v>230</v>
      </c>
      <c r="B25" s="29">
        <f t="shared" si="0"/>
        <v>21.6</v>
      </c>
      <c r="C25" s="1">
        <v>21.31</v>
      </c>
      <c r="D25" s="22">
        <f t="shared" si="1"/>
        <v>-1.342592592592605</v>
      </c>
      <c r="E25" s="23">
        <f t="shared" si="2"/>
        <v>93.913043478260875</v>
      </c>
      <c r="F25" s="24">
        <f t="shared" si="3"/>
        <v>0.26450000000000001</v>
      </c>
      <c r="G25" s="1">
        <f t="shared" si="4"/>
        <v>4.9680000000000009</v>
      </c>
      <c r="H25" s="35">
        <f t="shared" si="5"/>
        <v>0.61870000000000036</v>
      </c>
      <c r="I25" s="21"/>
      <c r="J25" s="21"/>
      <c r="K25" s="21"/>
      <c r="L25" s="21"/>
      <c r="M25" s="21"/>
    </row>
    <row r="26" spans="1:13" x14ac:dyDescent="0.3">
      <c r="A26" s="10">
        <v>240</v>
      </c>
      <c r="B26" s="29">
        <f t="shared" si="0"/>
        <v>21.55</v>
      </c>
      <c r="C26" s="1">
        <v>21.26</v>
      </c>
      <c r="D26" s="22">
        <f t="shared" si="1"/>
        <v>-1.345707656612525</v>
      </c>
      <c r="E26" s="23">
        <f t="shared" si="2"/>
        <v>89.791666666666671</v>
      </c>
      <c r="F26" s="24">
        <f t="shared" si="3"/>
        <v>0.28799999999999998</v>
      </c>
      <c r="G26" s="1">
        <f t="shared" si="4"/>
        <v>5.1719999999999997</v>
      </c>
      <c r="H26" s="35">
        <f t="shared" si="5"/>
        <v>0.65759999999999963</v>
      </c>
      <c r="I26" s="21"/>
      <c r="J26" s="21"/>
      <c r="K26" s="21"/>
      <c r="L26" s="21"/>
      <c r="M26" s="21"/>
    </row>
    <row r="27" spans="1:13" x14ac:dyDescent="0.3">
      <c r="A27" s="10">
        <v>246</v>
      </c>
      <c r="B27" s="29">
        <f t="shared" si="0"/>
        <v>21.52</v>
      </c>
      <c r="C27" s="1">
        <v>20.96</v>
      </c>
      <c r="D27" s="22">
        <f t="shared" si="1"/>
        <v>-2.6022304832713696</v>
      </c>
      <c r="E27" s="23">
        <f t="shared" si="2"/>
        <v>87.479674796747972</v>
      </c>
      <c r="F27" s="24">
        <f t="shared" si="3"/>
        <v>0.30258000000000002</v>
      </c>
      <c r="G27" s="1">
        <f t="shared" si="4"/>
        <v>5.29392</v>
      </c>
      <c r="H27" s="35">
        <f t="shared" si="5"/>
        <v>0.74783999999999973</v>
      </c>
      <c r="I27" s="21"/>
      <c r="J27" s="21"/>
      <c r="K27" s="21"/>
      <c r="L27" s="21"/>
      <c r="M27" s="21"/>
    </row>
    <row r="28" spans="1:13" x14ac:dyDescent="0.3">
      <c r="A28" s="37">
        <v>246</v>
      </c>
      <c r="B28" s="29">
        <f t="shared" si="0"/>
        <v>21.52</v>
      </c>
      <c r="C28" s="39">
        <v>9.77</v>
      </c>
      <c r="D28" s="38">
        <f t="shared" si="1"/>
        <v>-54.600371747211895</v>
      </c>
      <c r="E28" s="40">
        <f>40</f>
        <v>40</v>
      </c>
      <c r="F28" s="41">
        <f t="shared" si="3"/>
        <v>0.30258000000000002</v>
      </c>
      <c r="G28" s="39">
        <f t="shared" si="4"/>
        <v>2.4206400000000001</v>
      </c>
      <c r="H28" s="35">
        <f t="shared" si="5"/>
        <v>3.5005800000000002</v>
      </c>
      <c r="I28" s="21"/>
      <c r="J28" s="21"/>
      <c r="K28" s="21"/>
      <c r="L28" s="21"/>
      <c r="M28" s="21"/>
    </row>
    <row r="29" spans="1:13" ht="15" thickBot="1" x14ac:dyDescent="0.35">
      <c r="A29" s="12">
        <v>246</v>
      </c>
      <c r="B29" s="42">
        <f t="shared" si="0"/>
        <v>21.52</v>
      </c>
      <c r="C29" s="13">
        <v>0.08</v>
      </c>
      <c r="D29" s="19">
        <f t="shared" si="1"/>
        <v>-99.628252788104106</v>
      </c>
      <c r="E29" s="25">
        <f>0</f>
        <v>0</v>
      </c>
      <c r="F29" s="26">
        <f t="shared" si="3"/>
        <v>0.30258000000000002</v>
      </c>
      <c r="G29" s="13">
        <f t="shared" si="4"/>
        <v>0</v>
      </c>
      <c r="H29" s="43">
        <f t="shared" si="5"/>
        <v>5.8843200000000007</v>
      </c>
      <c r="I29" s="21"/>
      <c r="J29" s="21"/>
      <c r="K29" s="21"/>
      <c r="L29" s="21"/>
      <c r="M29" s="21"/>
    </row>
    <row r="30" spans="1:13" x14ac:dyDescent="0.3">
      <c r="A30" s="21"/>
      <c r="B30" s="21"/>
      <c r="C30" s="21"/>
      <c r="D30" s="21"/>
      <c r="E30" s="21"/>
      <c r="F30" s="36"/>
      <c r="G30" s="21"/>
      <c r="H30" s="21"/>
      <c r="I30" s="21"/>
      <c r="J30" s="21"/>
      <c r="K30" s="21"/>
      <c r="L30" s="21"/>
      <c r="M30" s="21"/>
    </row>
    <row r="31" spans="1:13" x14ac:dyDescent="0.3">
      <c r="A31" s="21"/>
      <c r="B31" s="21"/>
      <c r="C31" s="21"/>
      <c r="D31" s="21"/>
      <c r="E31" s="21"/>
      <c r="F31" s="36"/>
      <c r="G31" s="21"/>
      <c r="H31" s="21"/>
      <c r="I31" s="21"/>
      <c r="J31" s="21"/>
      <c r="K31" s="21"/>
      <c r="L31" s="21"/>
      <c r="M31" s="21"/>
    </row>
    <row r="32" spans="1:13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</sheetData>
  <mergeCells count="1">
    <mergeCell ref="B1:C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BD9BFFC9E543439C53A2705AE306EF" ma:contentTypeVersion="14" ma:contentTypeDescription="Crée un document." ma:contentTypeScope="" ma:versionID="fa9da68ca695942a89504ba95d5908c9">
  <xsd:schema xmlns:xsd="http://www.w3.org/2001/XMLSchema" xmlns:xs="http://www.w3.org/2001/XMLSchema" xmlns:p="http://schemas.microsoft.com/office/2006/metadata/properties" xmlns:ns2="bf2f2df3-a963-4452-b0e7-67dabc627c35" xmlns:ns3="f7d9f5a6-831d-4621-8c77-cbcaf993e406" targetNamespace="http://schemas.microsoft.com/office/2006/metadata/properties" ma:root="true" ma:fieldsID="c5e968ef623b16f9a7dcfe908cfbeba5" ns2:_="" ns3:_="">
    <xsd:import namespace="bf2f2df3-a963-4452-b0e7-67dabc627c35"/>
    <xsd:import namespace="f7d9f5a6-831d-4621-8c77-cbcaf993e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f2df3-a963-4452-b0e7-67dabc627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9f5a6-831d-4621-8c77-cbcaf993e40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342950f-c149-4cde-bab8-6b15bb743ebd}" ma:internalName="TaxCatchAll" ma:showField="CatchAllData" ma:web="f7d9f5a6-831d-4621-8c77-cbcaf993e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2f2df3-a963-4452-b0e7-67dabc627c35">
      <Terms xmlns="http://schemas.microsoft.com/office/infopath/2007/PartnerControls"/>
    </lcf76f155ced4ddcb4097134ff3c332f>
    <TaxCatchAll xmlns="f7d9f5a6-831d-4621-8c77-cbcaf993e406" xsi:nil="true"/>
  </documentManagement>
</p:properties>
</file>

<file path=customXml/itemProps1.xml><?xml version="1.0" encoding="utf-8"?>
<ds:datastoreItem xmlns:ds="http://schemas.openxmlformats.org/officeDocument/2006/customXml" ds:itemID="{F6BA0A88-900D-4EAA-88F1-DB7C35CA876C}"/>
</file>

<file path=customXml/itemProps2.xml><?xml version="1.0" encoding="utf-8"?>
<ds:datastoreItem xmlns:ds="http://schemas.openxmlformats.org/officeDocument/2006/customXml" ds:itemID="{1DCCF2FE-EAF9-4148-8442-7B00E649DFED}"/>
</file>

<file path=customXml/itemProps3.xml><?xml version="1.0" encoding="utf-8"?>
<ds:datastoreItem xmlns:ds="http://schemas.openxmlformats.org/officeDocument/2006/customXml" ds:itemID="{1712F086-F8F3-4A8E-A8C5-F5432C911EA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Badertscher</dc:creator>
  <cp:keywords/>
  <dc:description/>
  <cp:lastModifiedBy>Thomas Daniel Mlynek</cp:lastModifiedBy>
  <cp:revision/>
  <dcterms:created xsi:type="dcterms:W3CDTF">2015-06-05T18:19:34Z</dcterms:created>
  <dcterms:modified xsi:type="dcterms:W3CDTF">2025-12-01T22:01:27Z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0x0101001ABD9BFFC9E543439C53A2705AE306EF</vt:lpwstr>
  </property>
</Properties>
</file>